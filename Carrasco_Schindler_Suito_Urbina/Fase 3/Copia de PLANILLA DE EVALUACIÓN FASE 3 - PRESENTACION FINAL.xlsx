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nka\Downloads\"/>
    </mc:Choice>
  </mc:AlternateContent>
  <xr:revisionPtr revIDLastSave="0" documentId="13_ncr:1_{95C9EAD0-8E6C-4324-9CE7-C68A497439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G84" i="1"/>
  <c r="E84" i="1"/>
  <c r="J83" i="1"/>
  <c r="K83" i="1" s="1"/>
  <c r="H83" i="1"/>
  <c r="I83" i="1" s="1"/>
  <c r="G83" i="1"/>
  <c r="E83" i="1"/>
  <c r="J82" i="1"/>
  <c r="K82" i="1" s="1"/>
  <c r="H82" i="1"/>
  <c r="I82" i="1" s="1"/>
  <c r="G82" i="1"/>
  <c r="E82" i="1"/>
  <c r="J81" i="1"/>
  <c r="K81" i="1" s="1"/>
  <c r="H81" i="1"/>
  <c r="I81" i="1" s="1"/>
  <c r="G81" i="1"/>
  <c r="E81" i="1"/>
  <c r="J80" i="1"/>
  <c r="K80" i="1" s="1"/>
  <c r="H80" i="1"/>
  <c r="I80" i="1" s="1"/>
  <c r="G80" i="1"/>
  <c r="E80" i="1"/>
  <c r="J79" i="1"/>
  <c r="K79" i="1" s="1"/>
  <c r="H79" i="1"/>
  <c r="I79" i="1" s="1"/>
  <c r="G79" i="1"/>
  <c r="E79" i="1"/>
  <c r="J78" i="1"/>
  <c r="K78" i="1" s="1"/>
  <c r="I78" i="1"/>
  <c r="H78" i="1"/>
  <c r="G78" i="1"/>
  <c r="E78" i="1"/>
  <c r="J71" i="1"/>
  <c r="K71" i="1" s="1"/>
  <c r="H71" i="1"/>
  <c r="I71" i="1" s="1"/>
  <c r="G71" i="1"/>
  <c r="E71" i="1"/>
  <c r="J70" i="1"/>
  <c r="K70" i="1" s="1"/>
  <c r="H70" i="1"/>
  <c r="I70" i="1" s="1"/>
  <c r="G70" i="1"/>
  <c r="E70" i="1"/>
  <c r="J69" i="1"/>
  <c r="K69" i="1" s="1"/>
  <c r="I69" i="1"/>
  <c r="H69" i="1"/>
  <c r="G69" i="1"/>
  <c r="E69" i="1"/>
  <c r="J68" i="1"/>
  <c r="K68" i="1" s="1"/>
  <c r="H68" i="1"/>
  <c r="I68" i="1" s="1"/>
  <c r="G68" i="1"/>
  <c r="E68" i="1"/>
  <c r="K67" i="1"/>
  <c r="J67" i="1"/>
  <c r="H67" i="1"/>
  <c r="I67" i="1" s="1"/>
  <c r="G67" i="1"/>
  <c r="E67" i="1"/>
  <c r="J66" i="1"/>
  <c r="K66" i="1" s="1"/>
  <c r="H66" i="1"/>
  <c r="I66" i="1" s="1"/>
  <c r="G66" i="1"/>
  <c r="E66" i="1"/>
  <c r="J65" i="1"/>
  <c r="K65" i="1" s="1"/>
  <c r="H65" i="1"/>
  <c r="I65" i="1" s="1"/>
  <c r="G65" i="1"/>
  <c r="E65" i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G58" i="1"/>
  <c r="E58" i="1"/>
  <c r="J57" i="1"/>
  <c r="K57" i="1" s="1"/>
  <c r="H57" i="1"/>
  <c r="I57" i="1" s="1"/>
  <c r="G57" i="1"/>
  <c r="E57" i="1"/>
  <c r="J56" i="1"/>
  <c r="K56" i="1" s="1"/>
  <c r="H56" i="1"/>
  <c r="I56" i="1" s="1"/>
  <c r="G56" i="1"/>
  <c r="E56" i="1"/>
  <c r="J55" i="1"/>
  <c r="K55" i="1" s="1"/>
  <c r="H55" i="1"/>
  <c r="I55" i="1" s="1"/>
  <c r="G55" i="1"/>
  <c r="E55" i="1"/>
  <c r="J54" i="1"/>
  <c r="K54" i="1" s="1"/>
  <c r="H54" i="1"/>
  <c r="I54" i="1" s="1"/>
  <c r="G54" i="1"/>
  <c r="E54" i="1"/>
  <c r="J53" i="1"/>
  <c r="K53" i="1" s="1"/>
  <c r="H53" i="1"/>
  <c r="I53" i="1" s="1"/>
  <c r="G53" i="1"/>
  <c r="E53" i="1"/>
  <c r="J52" i="1"/>
  <c r="K52" i="1" s="1"/>
  <c r="I52" i="1"/>
  <c r="H52" i="1"/>
  <c r="G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G45" i="1"/>
  <c r="E45" i="1"/>
  <c r="K44" i="1"/>
  <c r="J44" i="1"/>
  <c r="I44" i="1"/>
  <c r="H44" i="1"/>
  <c r="G44" i="1"/>
  <c r="E44" i="1"/>
  <c r="J43" i="1"/>
  <c r="K43" i="1" s="1"/>
  <c r="H43" i="1"/>
  <c r="I43" i="1" s="1"/>
  <c r="G43" i="1"/>
  <c r="E43" i="1"/>
  <c r="J42" i="1"/>
  <c r="K42" i="1" s="1"/>
  <c r="H42" i="1"/>
  <c r="I42" i="1" s="1"/>
  <c r="G42" i="1"/>
  <c r="E42" i="1"/>
  <c r="J41" i="1"/>
  <c r="K41" i="1" s="1"/>
  <c r="H41" i="1"/>
  <c r="I41" i="1" s="1"/>
  <c r="G41" i="1"/>
  <c r="E41" i="1"/>
  <c r="J40" i="1"/>
  <c r="K40" i="1" s="1"/>
  <c r="H40" i="1"/>
  <c r="I40" i="1" s="1"/>
  <c r="G40" i="1"/>
  <c r="J39" i="1"/>
  <c r="K39" i="1" s="1"/>
  <c r="H39" i="1"/>
  <c r="I39" i="1" s="1"/>
  <c r="G39" i="1"/>
  <c r="E39" i="1"/>
  <c r="J32" i="1"/>
  <c r="K32" i="1" s="1"/>
  <c r="H32" i="1"/>
  <c r="I32" i="1" s="1"/>
  <c r="G32" i="1"/>
  <c r="E32" i="1"/>
  <c r="J31" i="1"/>
  <c r="K31" i="1" s="1"/>
  <c r="H31" i="1"/>
  <c r="I31" i="1" s="1"/>
  <c r="G31" i="1"/>
  <c r="E31" i="1"/>
  <c r="J30" i="1"/>
  <c r="K30" i="1" s="1"/>
  <c r="H30" i="1"/>
  <c r="I30" i="1" s="1"/>
  <c r="G30" i="1"/>
  <c r="E30" i="1"/>
  <c r="J29" i="1"/>
  <c r="K29" i="1" s="1"/>
  <c r="H29" i="1"/>
  <c r="I29" i="1" s="1"/>
  <c r="G29" i="1"/>
  <c r="E29" i="1"/>
  <c r="J28" i="1"/>
  <c r="K28" i="1" s="1"/>
  <c r="H28" i="1"/>
  <c r="I28" i="1" s="1"/>
  <c r="G28" i="1"/>
  <c r="E28" i="1"/>
  <c r="J27" i="1"/>
  <c r="K27" i="1" s="1"/>
  <c r="H27" i="1"/>
  <c r="I27" i="1" s="1"/>
  <c r="G27" i="1"/>
  <c r="E27" i="1"/>
  <c r="J26" i="1"/>
  <c r="K26" i="1" s="1"/>
  <c r="H26" i="1"/>
  <c r="I26" i="1" s="1"/>
  <c r="G26" i="1"/>
  <c r="E26" i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E13" i="1" l="1"/>
  <c r="E14" i="1"/>
  <c r="E15" i="1"/>
  <c r="E16" i="1"/>
  <c r="E17" i="1"/>
  <c r="E18" i="1"/>
  <c r="E19" i="1"/>
  <c r="G17" i="1" l="1"/>
  <c r="H17" i="1"/>
  <c r="I17" i="1" s="1"/>
  <c r="J17" i="1"/>
  <c r="K17" i="1" s="1"/>
  <c r="J19" i="1"/>
  <c r="K19" i="1" s="1"/>
  <c r="H19" i="1"/>
  <c r="I19" i="1" s="1"/>
  <c r="G19" i="1"/>
  <c r="J18" i="1"/>
  <c r="K18" i="1" s="1"/>
  <c r="H18" i="1"/>
  <c r="I18" i="1" s="1"/>
  <c r="G18" i="1"/>
  <c r="J16" i="1"/>
  <c r="K16" i="1" s="1"/>
  <c r="H16" i="1"/>
  <c r="I16" i="1" s="1"/>
  <c r="G16" i="1"/>
  <c r="J15" i="1"/>
  <c r="K15" i="1" s="1"/>
  <c r="H15" i="1"/>
  <c r="I15" i="1" s="1"/>
  <c r="G15" i="1"/>
  <c r="J14" i="1"/>
  <c r="I14" i="1"/>
  <c r="G14" i="1"/>
  <c r="J13" i="1"/>
  <c r="K13" i="1" s="1"/>
  <c r="H13" i="1"/>
  <c r="I13" i="1" s="1"/>
  <c r="G13" i="1"/>
  <c r="E20" i="1" l="1"/>
  <c r="G20" i="1"/>
  <c r="I20" i="1"/>
  <c r="K14" i="1"/>
  <c r="K20" i="1" l="1"/>
  <c r="C20" i="1" s="1"/>
  <c r="C21" i="1" s="1"/>
  <c r="C4" i="1" s="1"/>
  <c r="E5" i="1" l="1"/>
  <c r="E4" i="1"/>
</calcChain>
</file>

<file path=xl/sharedStrings.xml><?xml version="1.0" encoding="utf-8"?>
<sst xmlns="http://schemas.openxmlformats.org/spreadsheetml/2006/main" count="207" uniqueCount="68">
  <si>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</si>
  <si>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</si>
  <si>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</si>
  <si>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</si>
  <si>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</si>
  <si>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</si>
  <si>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</si>
  <si>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</si>
  <si>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</si>
  <si>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</si>
  <si>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</si>
  <si>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</si>
  <si>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</si>
  <si>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</si>
  <si>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</si>
  <si>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</si>
  <si>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</si>
  <si>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</si>
  <si>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</si>
  <si>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</si>
  <si>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</si>
  <si>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</si>
  <si>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</si>
  <si>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</si>
  <si>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</si>
  <si>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</si>
  <si>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</si>
  <si>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</si>
  <si>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</si>
  <si>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</si>
  <si>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</si>
  <si>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</si>
  <si>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</si>
  <si>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</si>
  <si>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</si>
  <si>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</si>
  <si>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</si>
  <si>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</si>
  <si>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</si>
  <si>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</si>
  <si>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</si>
  <si>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</si>
  <si>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</si>
  <si>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</si>
  <si>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</si>
  <si>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</si>
  <si>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</si>
  <si>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</si>
  <si>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</si>
  <si>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</si>
  <si>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</si>
  <si>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</si>
  <si>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</si>
  <si>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</si>
  <si>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</si>
  <si>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</si>
  <si>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</si>
  <si>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</si>
  <si>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</si>
  <si>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</si>
  <si>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</si>
  <si>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</si>
  <si>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</si>
  <si>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X</t>
  </si>
  <si>
    <t>SCHINDER</t>
  </si>
  <si>
    <t>URBINA</t>
  </si>
  <si>
    <t>CARRASCO</t>
  </si>
  <si>
    <t xml:space="preserve">SUITO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</si>
</sst>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  <xf numFmtId="0" fontId="0" fillId="0" borderId="0" xfId="0" applyFill="1" applyBorder="1" applyAlignment="1">
      <alignment horizontal="right" vertical="center"/>
    </xf>
    <xf numFmtId="164" fontId="0" fillId="2" borderId="24" xfId="0" applyNumberFormat="1" applyFill="1" applyBorder="1" applyAlignment="1">
      <alignment horizontal="center"/>
    </xf>
    <xf numFmtId="164" fontId="0" fillId="7" borderId="24" xfId="0" applyNumberFormat="1" applyFill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0" fontId="13" fillId="0" borderId="16" xfId="0" applyFont="1" applyFill="1" applyBorder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7" sqref="B7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64</v>
      </c>
      <c r="C4" s="31">
        <f>C21</f>
        <v>7</v>
      </c>
      <c r="D4" s="37">
        <f>C60</f>
        <v>7</v>
      </c>
      <c r="E4" s="36">
        <f>C4*C$2+D4*D$2</f>
        <v>7</v>
      </c>
    </row>
    <row r="5" spans="1:11" x14ac:dyDescent="0.25">
      <c r="A5" s="3">
        <v>2</v>
      </c>
      <c r="B5" s="16" t="s">
        <v>65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x14ac:dyDescent="0.25">
      <c r="A6" s="3">
        <v>3</v>
      </c>
      <c r="B6" t="s">
        <v>66</v>
      </c>
      <c r="C6" s="59">
        <v>7</v>
      </c>
      <c r="D6" s="60">
        <f>C86</f>
        <v>7</v>
      </c>
      <c r="E6" s="61">
        <v>7</v>
      </c>
    </row>
    <row r="7" spans="1:11" ht="15" customHeight="1" x14ac:dyDescent="0.25">
      <c r="A7" s="58">
        <v>4</v>
      </c>
      <c r="B7" s="62" t="s">
        <v>67</v>
      </c>
      <c r="C7" s="35"/>
      <c r="D7" s="35"/>
      <c r="E7" s="35"/>
    </row>
    <row r="11" spans="1:11" ht="18.75" outlineLevel="1" x14ac:dyDescent="0.25">
      <c r="A11" s="48" t="s">
        <v>4</v>
      </c>
      <c r="B11" s="11" t="str">
        <f>B4</f>
        <v>SCHINDER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">
        <v>63</v>
      </c>
      <c r="E13" s="12">
        <f>IF(D13="X",100*0.15,"")</f>
        <v>15</v>
      </c>
      <c r="F13" s="12"/>
      <c r="G13" s="12" t="str">
        <f>IF(F13="X",60*0.15,"")</f>
        <v/>
      </c>
      <c r="H13" s="12" t="str">
        <f t="shared" ref="H13:H17" si="1">IF($C13=ML,"X","")</f>
        <v/>
      </c>
      <c r="I13" s="12" t="str">
        <f>IF(H13="X",30*0.15,"")</f>
        <v/>
      </c>
      <c r="J13" s="12" t="str">
        <f t="shared" ref="J13:J17" si="2">IF($C13=NL,"X","")</f>
        <v/>
      </c>
      <c r="K13" s="12" t="str">
        <f t="shared" ref="K13:K17" si="3">IF($J13="X",0,"")</f>
        <v/>
      </c>
    </row>
    <row r="14" spans="1:11" ht="26.45" customHeight="1" outlineLevel="1" x14ac:dyDescent="0.25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">
        <v>63</v>
      </c>
      <c r="E14" s="12">
        <f>IF(D14="X",100*0.25,"")</f>
        <v>25</v>
      </c>
      <c r="F14" s="12"/>
      <c r="G14" s="12" t="str">
        <f>IF(F14="X",60*0.25,"")</f>
        <v/>
      </c>
      <c r="H14" s="12"/>
      <c r="I14" s="12" t="str">
        <f>IF(H14="X",30*0.25,"")</f>
        <v/>
      </c>
      <c r="J14" s="12" t="str">
        <f t="shared" si="2"/>
        <v/>
      </c>
      <c r="K14" s="12" t="str">
        <f t="shared" si="3"/>
        <v/>
      </c>
    </row>
    <row r="15" spans="1:11" ht="24" outlineLevel="1" x14ac:dyDescent="0.25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">
        <v>63</v>
      </c>
      <c r="E15" s="12">
        <f>IF(D15="X",100*0.2,"")</f>
        <v>20</v>
      </c>
      <c r="F15" s="12"/>
      <c r="G15" s="12" t="str">
        <f>IF(F15="X",60*0.2,"")</f>
        <v/>
      </c>
      <c r="H15" s="12" t="str">
        <f t="shared" si="1"/>
        <v/>
      </c>
      <c r="I15" s="12" t="str">
        <f>IF(H15="X",30*0.2,"")</f>
        <v/>
      </c>
      <c r="J15" s="12" t="str">
        <f t="shared" si="2"/>
        <v/>
      </c>
      <c r="K15" s="12" t="str">
        <f t="shared" si="3"/>
        <v/>
      </c>
    </row>
    <row r="16" spans="1:11" ht="24" outlineLevel="1" x14ac:dyDescent="0.25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">
        <v>63</v>
      </c>
      <c r="E16" s="12">
        <f>IF(D16="X",100*0.05,"")</f>
        <v>5</v>
      </c>
      <c r="F16" s="12"/>
      <c r="G16" s="12" t="str">
        <f>IF(F16="X",60*0.05,"")</f>
        <v/>
      </c>
      <c r="H16" s="12" t="str">
        <f t="shared" si="1"/>
        <v/>
      </c>
      <c r="I16" s="12" t="str">
        <f>IF(H16="X",30*0.05,"")</f>
        <v/>
      </c>
      <c r="J16" s="12" t="str">
        <f t="shared" si="2"/>
        <v/>
      </c>
      <c r="K16" s="12" t="str">
        <f t="shared" si="3"/>
        <v/>
      </c>
    </row>
    <row r="17" spans="1:11" ht="24" outlineLevel="1" x14ac:dyDescent="0.25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">
        <v>63</v>
      </c>
      <c r="E17" s="12">
        <f>IF(D17="X",100*0.05,"")</f>
        <v>5</v>
      </c>
      <c r="F17" s="12"/>
      <c r="G17" s="12" t="str">
        <f>IF(F17="X",60*0.05,"")</f>
        <v/>
      </c>
      <c r="H17" s="12" t="str">
        <f t="shared" si="1"/>
        <v/>
      </c>
      <c r="I17" s="12" t="str">
        <f>IF(H17="X",30*0.05,"")</f>
        <v/>
      </c>
      <c r="J17" s="12" t="str">
        <f t="shared" si="2"/>
        <v/>
      </c>
      <c r="K17" s="12" t="str">
        <f t="shared" si="3"/>
        <v/>
      </c>
    </row>
    <row r="18" spans="1:11" ht="36" outlineLevel="1" x14ac:dyDescent="0.25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">
        <v>63</v>
      </c>
      <c r="E18" s="12">
        <f>IF(D18="X",100*0.2,"")</f>
        <v>20</v>
      </c>
      <c r="F18" s="12"/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4">IF($J18="X",0,"")</f>
        <v/>
      </c>
    </row>
    <row r="19" spans="1:11" ht="24" outlineLevel="1" x14ac:dyDescent="0.25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">
        <v>63</v>
      </c>
      <c r="E19" s="12">
        <f>IF(D19="X",100*0.1,"")</f>
        <v>10</v>
      </c>
      <c r="F19" s="12"/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4"/>
        <v/>
      </c>
    </row>
    <row r="20" spans="1:11" ht="15.75" customHeight="1" outlineLevel="1" x14ac:dyDescent="0.3">
      <c r="A20" s="40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1" t="s">
        <v>13</v>
      </c>
      <c r="C21" s="14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8" t="s">
        <v>4</v>
      </c>
      <c r="B24" s="11" t="str">
        <f>B5</f>
        <v>URBINA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">
        <v>63</v>
      </c>
      <c r="E26" s="12">
        <f>IF(D26="X",100*0.15,"")</f>
        <v>15</v>
      </c>
      <c r="F26" s="12"/>
      <c r="G26" s="12" t="str">
        <f>IF(F26="X",60*0.15,"")</f>
        <v/>
      </c>
      <c r="H26" s="12" t="str">
        <f t="shared" ref="H26:H30" si="5">IF($C26=ML,"X","")</f>
        <v/>
      </c>
      <c r="I26" s="12" t="str">
        <f>IF(H26="X",30*0.15,"")</f>
        <v/>
      </c>
      <c r="J26" s="12" t="str">
        <f t="shared" ref="J26:J30" si="6">IF($C26=NL,"X","")</f>
        <v/>
      </c>
      <c r="K26" s="12" t="str">
        <f t="shared" ref="K26:K32" si="7">IF($J26="X",0,"")</f>
        <v/>
      </c>
    </row>
    <row r="27" spans="1:11" ht="24" customHeight="1" x14ac:dyDescent="0.25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">
        <v>63</v>
      </c>
      <c r="E27" s="12">
        <f>IF(D27="X",100*0.25,"")</f>
        <v>25</v>
      </c>
      <c r="F27" s="12"/>
      <c r="G27" s="12" t="str">
        <f>IF(F27="X",60*0.25,"")</f>
        <v/>
      </c>
      <c r="H27" s="12" t="str">
        <f t="shared" si="5"/>
        <v/>
      </c>
      <c r="I27" s="12" t="str">
        <f>IF(H27="X",30*0.25,"")</f>
        <v/>
      </c>
      <c r="J27" s="12" t="str">
        <f t="shared" si="6"/>
        <v/>
      </c>
      <c r="K27" s="12" t="str">
        <f t="shared" si="7"/>
        <v/>
      </c>
    </row>
    <row r="28" spans="1:11" ht="24" customHeight="1" x14ac:dyDescent="0.25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">
        <v>63</v>
      </c>
      <c r="E28" s="12">
        <f>IF(D28="X",100*0.2,"")</f>
        <v>20</v>
      </c>
      <c r="F28" s="12"/>
      <c r="G28" s="12" t="str">
        <f>IF(F28="X",60*0.2,"")</f>
        <v/>
      </c>
      <c r="H28" s="12" t="str">
        <f t="shared" si="5"/>
        <v/>
      </c>
      <c r="I28" s="12" t="str">
        <f>IF(H28="X",30*0.2,"")</f>
        <v/>
      </c>
      <c r="J28" s="12" t="str">
        <f t="shared" si="6"/>
        <v/>
      </c>
      <c r="K28" s="12" t="str">
        <f t="shared" si="7"/>
        <v/>
      </c>
    </row>
    <row r="29" spans="1:11" ht="24" customHeight="1" x14ac:dyDescent="0.25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">
        <v>63</v>
      </c>
      <c r="E29" s="12">
        <f>IF(D29="X",100*0.05,"")</f>
        <v>5</v>
      </c>
      <c r="F29" s="12"/>
      <c r="G29" s="12" t="str">
        <f>IF(F29="X",60*0.05,"")</f>
        <v/>
      </c>
      <c r="H29" s="12" t="str">
        <f t="shared" si="5"/>
        <v/>
      </c>
      <c r="I29" s="12" t="str">
        <f>IF(H29="X",30*0.05,"")</f>
        <v/>
      </c>
      <c r="J29" s="12" t="str">
        <f t="shared" si="6"/>
        <v/>
      </c>
      <c r="K29" s="12" t="str">
        <f t="shared" si="7"/>
        <v/>
      </c>
    </row>
    <row r="30" spans="1:11" ht="24" customHeight="1" x14ac:dyDescent="0.25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">
        <v>63</v>
      </c>
      <c r="E30" s="12">
        <f>IF(D30="X",100*0.05,"")</f>
        <v>5</v>
      </c>
      <c r="F30" s="12"/>
      <c r="G30" s="12" t="str">
        <f>IF(F30="X",60*0.05,"")</f>
        <v/>
      </c>
      <c r="H30" s="12" t="str">
        <f t="shared" si="5"/>
        <v/>
      </c>
      <c r="I30" s="12" t="str">
        <f>IF(H30="X",30*0.05,"")</f>
        <v/>
      </c>
      <c r="J30" s="12" t="str">
        <f t="shared" si="6"/>
        <v/>
      </c>
      <c r="K30" s="12" t="str">
        <f t="shared" si="7"/>
        <v/>
      </c>
    </row>
    <row r="31" spans="1:11" ht="24" customHeight="1" x14ac:dyDescent="0.25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">
        <v>63</v>
      </c>
      <c r="E31" s="12">
        <f>IF(D31="X",100*0.2,"")</f>
        <v>20</v>
      </c>
      <c r="F31" s="12"/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7"/>
        <v/>
      </c>
    </row>
    <row r="32" spans="1:11" ht="24" customHeight="1" x14ac:dyDescent="0.25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">
        <v>63</v>
      </c>
      <c r="E32" s="12">
        <f>IF(D32="X",100*0.1,"")</f>
        <v>10</v>
      </c>
      <c r="F32" s="12"/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7"/>
        <v/>
      </c>
    </row>
    <row r="33" spans="1:11" ht="24" customHeight="1" x14ac:dyDescent="0.3">
      <c r="A33" s="40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1" t="s">
        <v>13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8" t="s">
        <v>4</v>
      </c>
      <c r="B37" s="11" t="str">
        <f>B6</f>
        <v>CARRASCO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">
        <v>63</v>
      </c>
      <c r="E39" s="12">
        <f>IF(D39="X",100*0.15,"")</f>
        <v>15</v>
      </c>
      <c r="F39" s="12"/>
      <c r="G39" s="12" t="str">
        <f>IF(F39="X",60*0.15,"")</f>
        <v/>
      </c>
      <c r="H39" s="12" t="str">
        <f t="shared" ref="H39:H43" si="8">IF($C39=ML,"X","")</f>
        <v/>
      </c>
      <c r="I39" s="12" t="str">
        <f>IF(H39="X",30*0.15,"")</f>
        <v/>
      </c>
      <c r="J39" s="12" t="str">
        <f t="shared" ref="J39:J43" si="9">IF($C39=NL,"X","")</f>
        <v/>
      </c>
      <c r="K39" s="12" t="str">
        <f t="shared" ref="K39:K45" si="10">IF($J39="X",0,"")</f>
        <v/>
      </c>
    </row>
    <row r="40" spans="1:11" ht="24" customHeight="1" x14ac:dyDescent="0.25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">
        <v>63</v>
      </c>
      <c r="E40" s="12">
        <v>25</v>
      </c>
      <c r="F40" s="12"/>
      <c r="G40" s="12" t="str">
        <f>IF(F40="X",60*0.25,"")</f>
        <v/>
      </c>
      <c r="H40" s="12" t="str">
        <f t="shared" si="8"/>
        <v/>
      </c>
      <c r="I40" s="12" t="str">
        <f>IF(H40="X",30*0.25,"")</f>
        <v/>
      </c>
      <c r="J40" s="12" t="str">
        <f t="shared" si="9"/>
        <v/>
      </c>
      <c r="K40" s="12" t="str">
        <f t="shared" si="10"/>
        <v/>
      </c>
    </row>
    <row r="41" spans="1:11" ht="24" customHeight="1" x14ac:dyDescent="0.25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">
        <v>63</v>
      </c>
      <c r="E41" s="12">
        <f>IF(D41="X",100*0.2,"")</f>
        <v>20</v>
      </c>
      <c r="F41" s="12"/>
      <c r="G41" s="12" t="str">
        <f>IF(F41="X",60*0.2,"")</f>
        <v/>
      </c>
      <c r="H41" s="12" t="str">
        <f t="shared" si="8"/>
        <v/>
      </c>
      <c r="I41" s="12" t="str">
        <f>IF(H41="X",30*0.2,"")</f>
        <v/>
      </c>
      <c r="J41" s="12" t="str">
        <f t="shared" si="9"/>
        <v/>
      </c>
      <c r="K41" s="12" t="str">
        <f t="shared" si="10"/>
        <v/>
      </c>
    </row>
    <row r="42" spans="1:11" ht="24" customHeight="1" x14ac:dyDescent="0.25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">
        <v>63</v>
      </c>
      <c r="E42" s="12">
        <f>IF(D42="X",100*0.05,"")</f>
        <v>5</v>
      </c>
      <c r="F42" s="12"/>
      <c r="G42" s="12" t="str">
        <f>IF(F42="X",60*0.05,"")</f>
        <v/>
      </c>
      <c r="H42" s="12" t="str">
        <f t="shared" si="8"/>
        <v/>
      </c>
      <c r="I42" s="12" t="str">
        <f>IF(H42="X",30*0.05,"")</f>
        <v/>
      </c>
      <c r="J42" s="12" t="str">
        <f t="shared" si="9"/>
        <v/>
      </c>
      <c r="K42" s="12" t="str">
        <f t="shared" si="10"/>
        <v/>
      </c>
    </row>
    <row r="43" spans="1:11" ht="24" customHeight="1" x14ac:dyDescent="0.25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">
        <v>63</v>
      </c>
      <c r="E43" s="12">
        <f>IF(D43="X",100*0.05,"")</f>
        <v>5</v>
      </c>
      <c r="F43" s="12"/>
      <c r="G43" s="12" t="str">
        <f>IF(F43="X",60*0.05,"")</f>
        <v/>
      </c>
      <c r="H43" s="12" t="str">
        <f t="shared" si="8"/>
        <v/>
      </c>
      <c r="I43" s="12" t="str">
        <f>IF(H43="X",30*0.05,"")</f>
        <v/>
      </c>
      <c r="J43" s="12" t="str">
        <f t="shared" si="9"/>
        <v/>
      </c>
      <c r="K43" s="12" t="str">
        <f t="shared" si="10"/>
        <v/>
      </c>
    </row>
    <row r="44" spans="1:11" ht="24" customHeight="1" x14ac:dyDescent="0.25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">
        <v>63</v>
      </c>
      <c r="E44" s="12">
        <f>IF(D44="X",100*0.2,"")</f>
        <v>20</v>
      </c>
      <c r="F44" s="12"/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0"/>
        <v/>
      </c>
    </row>
    <row r="45" spans="1:11" ht="24" customHeight="1" x14ac:dyDescent="0.25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">
        <v>63</v>
      </c>
      <c r="E45" s="12">
        <f>IF(D45="X",100*0.1,"")</f>
        <v>10</v>
      </c>
      <c r="F45" s="12"/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0"/>
        <v/>
      </c>
    </row>
    <row r="46" spans="1:11" ht="24" customHeight="1" x14ac:dyDescent="0.3">
      <c r="A46" s="40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1" t="s">
        <v>13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39" t="s">
        <v>14</v>
      </c>
      <c r="B50" s="11" t="str">
        <f>B4</f>
        <v>SCHINDER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">
        <v>63</v>
      </c>
      <c r="E52" s="12">
        <f>IF(D52="X",100*0.15,"")</f>
        <v>15</v>
      </c>
      <c r="F52" s="12"/>
      <c r="G52" s="12" t="str">
        <f>IF(F52="X",60*0.15,"")</f>
        <v/>
      </c>
      <c r="H52" s="12" t="str">
        <f t="shared" ref="H52:H56" si="11">IF($C52=ML,"X","")</f>
        <v/>
      </c>
      <c r="I52" s="12" t="str">
        <f>IF(H52="X",30*0.15,"")</f>
        <v/>
      </c>
      <c r="J52" s="12" t="str">
        <f t="shared" ref="J52:J56" si="12">IF($C52=NL,"X","")</f>
        <v/>
      </c>
      <c r="K52" s="12" t="str">
        <f t="shared" ref="K52:K58" si="13">IF($J52="X",0,"")</f>
        <v/>
      </c>
    </row>
    <row r="53" spans="1:11" ht="24" customHeight="1" x14ac:dyDescent="0.25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">
        <v>63</v>
      </c>
      <c r="E53" s="12">
        <f>IF(D53="X",100*0.25,"")</f>
        <v>25</v>
      </c>
      <c r="F53" s="12"/>
      <c r="G53" s="12" t="str">
        <f>IF(F53="X",60*0.25,"")</f>
        <v/>
      </c>
      <c r="H53" s="12" t="str">
        <f t="shared" si="11"/>
        <v/>
      </c>
      <c r="I53" s="12" t="str">
        <f>IF(H53="X",30*0.25,"")</f>
        <v/>
      </c>
      <c r="J53" s="12" t="str">
        <f t="shared" si="12"/>
        <v/>
      </c>
      <c r="K53" s="12" t="str">
        <f t="shared" si="13"/>
        <v/>
      </c>
    </row>
    <row r="54" spans="1:11" ht="24" customHeight="1" x14ac:dyDescent="0.25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">
        <v>63</v>
      </c>
      <c r="E54" s="12">
        <f>IF(D54="X",100*0.2,"")</f>
        <v>20</v>
      </c>
      <c r="F54" s="12"/>
      <c r="G54" s="12" t="str">
        <f>IF(F54="X",60*0.2,"")</f>
        <v/>
      </c>
      <c r="H54" s="12" t="str">
        <f t="shared" si="11"/>
        <v/>
      </c>
      <c r="I54" s="12" t="str">
        <f>IF(H54="X",30*0.2,"")</f>
        <v/>
      </c>
      <c r="J54" s="12" t="str">
        <f t="shared" si="12"/>
        <v/>
      </c>
      <c r="K54" s="12" t="str">
        <f t="shared" si="13"/>
        <v/>
      </c>
    </row>
    <row r="55" spans="1:11" ht="24" customHeight="1" x14ac:dyDescent="0.25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">
        <v>63</v>
      </c>
      <c r="E55" s="12">
        <f>IF(D55="X",100*0.05,"")</f>
        <v>5</v>
      </c>
      <c r="F55" s="12"/>
      <c r="G55" s="12" t="str">
        <f>IF(F55="X",60*0.05,"")</f>
        <v/>
      </c>
      <c r="H55" s="12" t="str">
        <f t="shared" si="11"/>
        <v/>
      </c>
      <c r="I55" s="12" t="str">
        <f>IF(H55="X",30*0.05,"")</f>
        <v/>
      </c>
      <c r="J55" s="12" t="str">
        <f t="shared" si="12"/>
        <v/>
      </c>
      <c r="K55" s="12" t="str">
        <f t="shared" si="13"/>
        <v/>
      </c>
    </row>
    <row r="56" spans="1:11" ht="24" customHeight="1" x14ac:dyDescent="0.25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">
        <v>63</v>
      </c>
      <c r="E56" s="12">
        <f>IF(D56="X",100*0.05,"")</f>
        <v>5</v>
      </c>
      <c r="F56" s="12"/>
      <c r="G56" s="12" t="str">
        <f>IF(F56="X",60*0.05,"")</f>
        <v/>
      </c>
      <c r="H56" s="12" t="str">
        <f t="shared" si="11"/>
        <v/>
      </c>
      <c r="I56" s="12" t="str">
        <f>IF(H56="X",30*0.05,"")</f>
        <v/>
      </c>
      <c r="J56" s="12" t="str">
        <f t="shared" si="12"/>
        <v/>
      </c>
      <c r="K56" s="12" t="str">
        <f t="shared" si="13"/>
        <v/>
      </c>
    </row>
    <row r="57" spans="1:11" ht="24" customHeight="1" x14ac:dyDescent="0.25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">
        <v>63</v>
      </c>
      <c r="E57" s="12">
        <f>IF(D57="X",100*0.2,"")</f>
        <v>20</v>
      </c>
      <c r="F57" s="12"/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13"/>
        <v/>
      </c>
    </row>
    <row r="58" spans="1:11" ht="24" customHeight="1" x14ac:dyDescent="0.25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">
        <v>63</v>
      </c>
      <c r="E58" s="12">
        <f>IF(D58="X",100*0.1,"")</f>
        <v>10</v>
      </c>
      <c r="F58" s="12"/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13"/>
        <v/>
      </c>
    </row>
    <row r="59" spans="1:11" ht="24" customHeight="1" x14ac:dyDescent="0.3">
      <c r="A59" s="40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1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39" t="s">
        <v>15</v>
      </c>
      <c r="B63" s="11" t="str">
        <f>B5</f>
        <v>URBINA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">
        <v>63</v>
      </c>
      <c r="E65" s="12">
        <f>IF(D65="X",100*0.15,"")</f>
        <v>15</v>
      </c>
      <c r="F65" s="12"/>
      <c r="G65" s="12" t="str">
        <f>IF(F65="X",60*0.15,"")</f>
        <v/>
      </c>
      <c r="H65" s="12" t="str">
        <f t="shared" ref="H65:H69" si="14">IF($C65=ML,"X","")</f>
        <v/>
      </c>
      <c r="I65" s="12" t="str">
        <f>IF(H65="X",30*0.15,"")</f>
        <v/>
      </c>
      <c r="J65" s="12" t="str">
        <f t="shared" ref="J65:J69" si="15">IF($C65=NL,"X","")</f>
        <v/>
      </c>
      <c r="K65" s="12" t="str">
        <f t="shared" ref="K65:K71" si="16">IF($J65="X",0,"")</f>
        <v/>
      </c>
    </row>
    <row r="66" spans="1:11" ht="24" customHeight="1" x14ac:dyDescent="0.25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">
        <v>63</v>
      </c>
      <c r="E66" s="12">
        <f>IF(D66="X",100*0.25,"")</f>
        <v>25</v>
      </c>
      <c r="F66" s="12"/>
      <c r="G66" s="12" t="str">
        <f>IF(F66="X",60*0.25,"")</f>
        <v/>
      </c>
      <c r="H66" s="12" t="str">
        <f t="shared" si="14"/>
        <v/>
      </c>
      <c r="I66" s="12" t="str">
        <f>IF(H66="X",30*0.25,"")</f>
        <v/>
      </c>
      <c r="J66" s="12" t="str">
        <f t="shared" si="15"/>
        <v/>
      </c>
      <c r="K66" s="12" t="str">
        <f t="shared" si="16"/>
        <v/>
      </c>
    </row>
    <row r="67" spans="1:11" ht="24" customHeight="1" x14ac:dyDescent="0.25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">
        <v>63</v>
      </c>
      <c r="E67" s="12">
        <f>IF(D67="X",100*0.2,"")</f>
        <v>20</v>
      </c>
      <c r="F67" s="12"/>
      <c r="G67" s="12" t="str">
        <f>IF(F67="X",60*0.2,"")</f>
        <v/>
      </c>
      <c r="H67" s="12" t="str">
        <f t="shared" si="14"/>
        <v/>
      </c>
      <c r="I67" s="12" t="str">
        <f>IF(H67="X",30*0.2,"")</f>
        <v/>
      </c>
      <c r="J67" s="12" t="str">
        <f t="shared" si="15"/>
        <v/>
      </c>
      <c r="K67" s="12" t="str">
        <f t="shared" si="16"/>
        <v/>
      </c>
    </row>
    <row r="68" spans="1:11" ht="24" customHeight="1" x14ac:dyDescent="0.25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">
        <v>63</v>
      </c>
      <c r="E68" s="12">
        <f>IF(D68="X",100*0.05,"")</f>
        <v>5</v>
      </c>
      <c r="F68" s="12"/>
      <c r="G68" s="12" t="str">
        <f>IF(F68="X",60*0.05,"")</f>
        <v/>
      </c>
      <c r="H68" s="12" t="str">
        <f t="shared" si="14"/>
        <v/>
      </c>
      <c r="I68" s="12" t="str">
        <f>IF(H68="X",30*0.05,"")</f>
        <v/>
      </c>
      <c r="J68" s="12" t="str">
        <f t="shared" si="15"/>
        <v/>
      </c>
      <c r="K68" s="12" t="str">
        <f t="shared" si="16"/>
        <v/>
      </c>
    </row>
    <row r="69" spans="1:11" ht="24" customHeight="1" x14ac:dyDescent="0.25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">
        <v>63</v>
      </c>
      <c r="E69" s="12">
        <f>IF(D69="X",100*0.05,"")</f>
        <v>5</v>
      </c>
      <c r="F69" s="12"/>
      <c r="G69" s="12" t="str">
        <f>IF(F69="X",60*0.05,"")</f>
        <v/>
      </c>
      <c r="H69" s="12" t="str">
        <f t="shared" si="14"/>
        <v/>
      </c>
      <c r="I69" s="12" t="str">
        <f>IF(H69="X",30*0.05,"")</f>
        <v/>
      </c>
      <c r="J69" s="12" t="str">
        <f t="shared" si="15"/>
        <v/>
      </c>
      <c r="K69" s="12" t="str">
        <f t="shared" si="16"/>
        <v/>
      </c>
    </row>
    <row r="70" spans="1:11" ht="24" customHeight="1" x14ac:dyDescent="0.25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">
        <v>63</v>
      </c>
      <c r="E70" s="12">
        <f>IF(D70="X",100*0.2,"")</f>
        <v>20</v>
      </c>
      <c r="F70" s="12"/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16"/>
        <v/>
      </c>
    </row>
    <row r="71" spans="1:11" ht="24" customHeight="1" x14ac:dyDescent="0.25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">
        <v>63</v>
      </c>
      <c r="E71" s="12">
        <f>IF(D71="X",100*0.1,"")</f>
        <v>10</v>
      </c>
      <c r="F71" s="12"/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16"/>
        <v/>
      </c>
    </row>
    <row r="72" spans="1:11" ht="24" customHeight="1" x14ac:dyDescent="0.3">
      <c r="A72" s="40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1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39" t="s">
        <v>16</v>
      </c>
      <c r="B76" s="11" t="str">
        <f>B6</f>
        <v>CARRASCO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">
        <v>63</v>
      </c>
      <c r="E78" s="12">
        <f>IF(D78="X",100*0.15,"")</f>
        <v>15</v>
      </c>
      <c r="F78" s="12"/>
      <c r="G78" s="12" t="str">
        <f>IF(F78="X",60*0.15,"")</f>
        <v/>
      </c>
      <c r="H78" s="12" t="str">
        <f t="shared" ref="H78:H82" si="17">IF($C78=ML,"X","")</f>
        <v/>
      </c>
      <c r="I78" s="12" t="str">
        <f>IF(H78="X",30*0.15,"")</f>
        <v/>
      </c>
      <c r="J78" s="12" t="str">
        <f t="shared" ref="J78:J82" si="18">IF($C78=NL,"X","")</f>
        <v/>
      </c>
      <c r="K78" s="12" t="str">
        <f t="shared" ref="K78:K84" si="19">IF($J78="X",0,"")</f>
        <v/>
      </c>
    </row>
    <row r="79" spans="1:11" ht="24" customHeight="1" x14ac:dyDescent="0.25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">
        <v>63</v>
      </c>
      <c r="E79" s="12">
        <f>IF(D79="X",100*0.25,"")</f>
        <v>25</v>
      </c>
      <c r="F79" s="12"/>
      <c r="G79" s="12" t="str">
        <f>IF(F79="X",60*0.25,"")</f>
        <v/>
      </c>
      <c r="H79" s="12" t="str">
        <f t="shared" si="17"/>
        <v/>
      </c>
      <c r="I79" s="12" t="str">
        <f>IF(H79="X",30*0.25,"")</f>
        <v/>
      </c>
      <c r="J79" s="12" t="str">
        <f t="shared" si="18"/>
        <v/>
      </c>
      <c r="K79" s="12" t="str">
        <f t="shared" si="19"/>
        <v/>
      </c>
    </row>
    <row r="80" spans="1:11" ht="24" customHeight="1" x14ac:dyDescent="0.25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">
        <v>63</v>
      </c>
      <c r="E80" s="12">
        <f>IF(D80="X",100*0.2,"")</f>
        <v>20</v>
      </c>
      <c r="F80" s="12"/>
      <c r="G80" s="12" t="str">
        <f>IF(F80="X",60*0.2,"")</f>
        <v/>
      </c>
      <c r="H80" s="12" t="str">
        <f t="shared" si="17"/>
        <v/>
      </c>
      <c r="I80" s="12" t="str">
        <f>IF(H80="X",30*0.2,"")</f>
        <v/>
      </c>
      <c r="J80" s="12" t="str">
        <f t="shared" si="18"/>
        <v/>
      </c>
      <c r="K80" s="12" t="str">
        <f t="shared" si="19"/>
        <v/>
      </c>
    </row>
    <row r="81" spans="1:11" ht="24" customHeight="1" x14ac:dyDescent="0.25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">
        <v>63</v>
      </c>
      <c r="E81" s="12">
        <f>IF(D81="X",100*0.05,"")</f>
        <v>5</v>
      </c>
      <c r="F81" s="12"/>
      <c r="G81" s="12" t="str">
        <f>IF(F81="X",60*0.05,"")</f>
        <v/>
      </c>
      <c r="H81" s="12" t="str">
        <f t="shared" si="17"/>
        <v/>
      </c>
      <c r="I81" s="12" t="str">
        <f>IF(H81="X",30*0.05,"")</f>
        <v/>
      </c>
      <c r="J81" s="12" t="str">
        <f t="shared" si="18"/>
        <v/>
      </c>
      <c r="K81" s="12" t="str">
        <f t="shared" si="19"/>
        <v/>
      </c>
    </row>
    <row r="82" spans="1:11" ht="24" customHeight="1" x14ac:dyDescent="0.25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">
        <v>63</v>
      </c>
      <c r="E82" s="12">
        <f>IF(D82="X",100*0.05,"")</f>
        <v>5</v>
      </c>
      <c r="F82" s="12"/>
      <c r="G82" s="12" t="str">
        <f>IF(F82="X",60*0.05,"")</f>
        <v/>
      </c>
      <c r="H82" s="12" t="str">
        <f t="shared" si="17"/>
        <v/>
      </c>
      <c r="I82" s="12" t="str">
        <f>IF(H82="X",30*0.05,"")</f>
        <v/>
      </c>
      <c r="J82" s="12" t="str">
        <f t="shared" si="18"/>
        <v/>
      </c>
      <c r="K82" s="12" t="str">
        <f t="shared" si="19"/>
        <v/>
      </c>
    </row>
    <row r="83" spans="1:11" ht="24" customHeight="1" x14ac:dyDescent="0.25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">
        <v>63</v>
      </c>
      <c r="E83" s="12">
        <f>IF(D83="X",100*0.2,"")</f>
        <v>20</v>
      </c>
      <c r="F83" s="12"/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19"/>
        <v/>
      </c>
    </row>
    <row r="84" spans="1:11" ht="24" customHeight="1" x14ac:dyDescent="0.25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">
        <v>63</v>
      </c>
      <c r="E84" s="12">
        <f>IF(D84="X",100*0.1,"")</f>
        <v>10</v>
      </c>
      <c r="F84" s="12"/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19"/>
        <v/>
      </c>
    </row>
    <row r="85" spans="1:11" ht="24" customHeight="1" x14ac:dyDescent="0.3">
      <c r="A85" s="40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1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Cindy Contador</cp:lastModifiedBy>
  <cp:revision/>
  <dcterms:created xsi:type="dcterms:W3CDTF">2023-08-07T04:08:01Z</dcterms:created>
  <dcterms:modified xsi:type="dcterms:W3CDTF">2025-12-08T21:16:41Z</dcterms:modified>
  <cp:category/>
  <cp:contentStatus/>
</cp:coreProperties>
</file>